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Costos" sheetId="3" state="visible" r:id="rId3"/>
    <sheet name="Margen" sheetId="4" state="visible" r:id="rId4"/>
    <sheet name="Proye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0.0%"/>
    <numFmt numFmtId="166" formatCode="$#,##0.00;($#,##0.00);-"/>
    <numFmt numFmtId="167" formatCode="$#,##0.0000"/>
    <numFmt numFmtId="168" formatCode="#,##0.000"/>
  </numFmts>
  <fonts count="25">
    <font>
      <name val="Calibri"/>
      <family val="2"/>
      <color theme="1"/>
      <sz val="11"/>
      <scheme val="minor"/>
    </font>
    <font>
      <name val="Arial"/>
      <b val="1"/>
      <color rgb="00123B4A"/>
      <sz val="15"/>
    </font>
    <font>
      <name val="Arial"/>
      <i val="1"/>
      <color rgb="005B6072"/>
      <sz val="9"/>
    </font>
    <font>
      <name val="Arial"/>
      <b val="1"/>
      <color rgb="000E7C86"/>
      <sz val="11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FF"/>
      <sz val="12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37A56"/>
      <sz val="9"/>
    </font>
    <font>
      <name val="Arial"/>
      <b val="1"/>
      <color rgb="00A96B05"/>
      <sz val="9"/>
    </font>
    <font>
      <name val="Arial"/>
      <i val="1"/>
      <color rgb="00A96B05"/>
      <sz val="9"/>
    </font>
    <font>
      <name val="Arial"/>
      <i val="1"/>
      <color rgb="00137A56"/>
      <sz val="9"/>
    </font>
    <font>
      <name val="Arial"/>
      <b val="1"/>
      <color rgb="00137A56"/>
      <sz val="10"/>
    </font>
    <font>
      <name val="Arial"/>
      <b val="1"/>
      <color rgb="00123B4A"/>
      <sz val="10"/>
    </font>
    <font>
      <name val="Arial"/>
      <b val="1"/>
      <color rgb="00123B4A"/>
      <sz val="19"/>
    </font>
    <font>
      <name val="Arial"/>
      <color rgb="005B6072"/>
      <sz val="11"/>
    </font>
    <font>
      <name val="Arial"/>
      <b val="1"/>
      <color rgb="00123B4A"/>
      <sz val="13"/>
    </font>
    <font>
      <name val="Arial"/>
      <b val="1"/>
      <color rgb="00137A56"/>
      <sz val="13"/>
    </font>
    <font>
      <name val="Arial"/>
      <b val="1"/>
      <color rgb="00137A56"/>
      <sz val="12"/>
    </font>
    <font>
      <name val="Arial"/>
      <b val="1"/>
      <color rgb="000E7C86"/>
      <sz val="13"/>
    </font>
    <font>
      <name val="Arial"/>
      <b val="1"/>
      <color rgb="000000FF"/>
      <sz val="15"/>
    </font>
    <font>
      <name val="Arial"/>
      <i val="1"/>
      <color rgb="00A96B05"/>
      <sz val="10"/>
    </font>
  </fonts>
  <fills count="9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FFD966"/>
      </patternFill>
    </fill>
    <fill>
      <patternFill patternType="solid">
        <fgColor rgb="00123B4A"/>
      </patternFill>
    </fill>
    <fill>
      <patternFill patternType="solid">
        <fgColor rgb="00DCEEEF"/>
      </patternFill>
    </fill>
    <fill>
      <patternFill patternType="solid">
        <fgColor rgb="00137A56"/>
      </patternFill>
    </fill>
    <fill>
      <patternFill patternType="solid">
        <fgColor rgb="00DDF0E7"/>
      </patternFill>
    </fill>
    <fill>
      <patternFill patternType="solid">
        <fgColor rgb="00EAF1F1"/>
      </patternFill>
    </fill>
  </fills>
  <borders count="4">
    <border>
      <left/>
      <right/>
      <top/>
      <bottom/>
      <diagonal/>
    </border>
    <border>
      <bottom style="thin">
        <color rgb="009FB4B4"/>
      </bottom>
    </border>
    <border>
      <left style="thin">
        <color rgb="00D2DEDE"/>
      </left>
      <right style="thin">
        <color rgb="00D2DEDE"/>
      </right>
      <top style="thin">
        <color rgb="00D2DEDE"/>
      </top>
      <bottom style="thin">
        <color rgb="00D2DEDE"/>
      </bottom>
    </border>
    <border>
      <left style="thin">
        <color rgb="00D2DEDE"/>
      </left>
      <right style="thin">
        <color rgb="00D2DEDE"/>
      </right>
      <top style="thin">
        <color rgb="00D2DEDE"/>
      </top>
      <bottom style="medium">
        <color rgb="00123B4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2" pivotButton="0" quotePrefix="0" xfId="0"/>
    <xf numFmtId="166" fontId="19" fillId="5" borderId="2" applyAlignment="1" pivotButton="0" quotePrefix="0" xfId="0">
      <alignment horizontal="right"/>
    </xf>
    <xf numFmtId="0" fontId="10" fillId="0" borderId="0" pivotButton="0" quotePrefix="0" xfId="0"/>
    <xf numFmtId="0" fontId="2" fillId="0" borderId="0" applyAlignment="1" pivotButton="0" quotePrefix="0" xfId="0">
      <alignment vertical="top" wrapText="1"/>
    </xf>
    <xf numFmtId="165" fontId="19" fillId="5" borderId="2" applyAlignment="1" pivotButton="0" quotePrefix="0" xfId="0">
      <alignment horizontal="right"/>
    </xf>
    <xf numFmtId="0" fontId="20" fillId="0" borderId="1" pivotButton="0" quotePrefix="0" xfId="0"/>
    <xf numFmtId="164" fontId="21" fillId="7" borderId="2" applyAlignment="1" pivotButton="0" quotePrefix="0" xfId="0">
      <alignment horizontal="right"/>
    </xf>
    <xf numFmtId="166" fontId="21" fillId="7" borderId="2" applyAlignment="1" pivotButton="0" quotePrefix="0" xfId="0">
      <alignment horizontal="right"/>
    </xf>
    <xf numFmtId="165" fontId="21" fillId="7" borderId="2" applyAlignment="1" pivotButton="0" quotePrefix="0" xfId="0">
      <alignment horizontal="right"/>
    </xf>
    <xf numFmtId="3" fontId="10" fillId="0" borderId="2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  <xf numFmtId="0" fontId="24" fillId="0" borderId="0" pivotButton="0" quotePrefix="0" xfId="0"/>
    <xf numFmtId="0" fontId="22" fillId="0" borderId="1" pivotButton="0" quotePrefix="0" xfId="0"/>
    <xf numFmtId="0" fontId="8" fillId="0" borderId="0" pivotButton="0" quotePrefix="0" xfId="0"/>
    <xf numFmtId="165" fontId="23" fillId="3" borderId="2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164" fontId="5" fillId="2" borderId="2" applyAlignment="1" pivotButton="0" quotePrefix="0" xfId="0">
      <alignment horizontal="right"/>
    </xf>
    <xf numFmtId="165" fontId="5" fillId="2" borderId="2" applyAlignment="1" pivotButton="0" quotePrefix="0" xfId="0">
      <alignment horizontal="right"/>
    </xf>
    <xf numFmtId="166" fontId="4" fillId="0" borderId="2" applyAlignment="1" pivotButton="0" quotePrefix="0" xfId="0">
      <alignment horizontal="right"/>
    </xf>
    <xf numFmtId="166" fontId="5" fillId="2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3" fontId="5" fillId="2" borderId="2" applyAlignment="1" pivotButton="0" quotePrefix="0" xfId="0">
      <alignment horizontal="right"/>
    </xf>
    <xf numFmtId="165" fontId="7" fillId="3" borderId="2" applyAlignment="1" pivotButton="0" quotePrefix="0" xfId="0">
      <alignment horizontal="right"/>
    </xf>
    <xf numFmtId="0" fontId="3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10" fillId="0" borderId="2" pivotButton="0" quotePrefix="0" xfId="0"/>
    <xf numFmtId="166" fontId="5" fillId="2" borderId="2" pivotButton="0" quotePrefix="0" xfId="0"/>
    <xf numFmtId="0" fontId="11" fillId="0" borderId="2" applyAlignment="1" pivotButton="0" quotePrefix="0" xfId="0">
      <alignment horizontal="center"/>
    </xf>
    <xf numFmtId="0" fontId="2" fillId="0" borderId="2" pivotButton="0" quotePrefix="0" xfId="0"/>
    <xf numFmtId="0" fontId="12" fillId="0" borderId="2" applyAlignment="1" pivotButton="0" quotePrefix="0" xfId="0">
      <alignment horizontal="center"/>
    </xf>
    <xf numFmtId="0" fontId="10" fillId="5" borderId="2" pivotButton="0" quotePrefix="0" xfId="0"/>
    <xf numFmtId="0" fontId="0" fillId="5" borderId="2" pivotButton="0" quotePrefix="0" xfId="0"/>
    <xf numFmtId="166" fontId="10" fillId="5" borderId="2" pivotButton="0" quotePrefix="0" xfId="0"/>
    <xf numFmtId="0" fontId="4" fillId="0" borderId="0" applyAlignment="1" pivotButton="0" quotePrefix="0" xfId="0">
      <alignment vertical="top" wrapText="1"/>
    </xf>
    <xf numFmtId="0" fontId="13" fillId="0" borderId="2" pivotButton="0" quotePrefix="0" xfId="0"/>
    <xf numFmtId="167" fontId="5" fillId="2" borderId="2" pivotButton="0" quotePrefix="0" xfId="0"/>
    <xf numFmtId="0" fontId="14" fillId="0" borderId="2" pivotButton="0" quotePrefix="0" xfId="0"/>
    <xf numFmtId="0" fontId="9" fillId="6" borderId="2" applyAlignment="1" pivotButton="0" quotePrefix="0" xfId="0">
      <alignment horizontal="center" vertical="center" wrapText="1"/>
    </xf>
    <xf numFmtId="3" fontId="15" fillId="7" borderId="2" pivotButton="0" quotePrefix="0" xfId="0"/>
    <xf numFmtId="3" fontId="5" fillId="2" borderId="2" pivotButton="0" quotePrefix="0" xfId="0"/>
    <xf numFmtId="168" fontId="15" fillId="7" borderId="2" pivotButton="0" quotePrefix="0" xfId="0"/>
    <xf numFmtId="0" fontId="10" fillId="8" borderId="2" pivotButton="0" quotePrefix="0" xfId="0"/>
    <xf numFmtId="166" fontId="4" fillId="8" borderId="2" pivotButton="0" quotePrefix="0" xfId="0"/>
    <xf numFmtId="166" fontId="6" fillId="0" borderId="2" pivotButton="0" quotePrefix="0" xfId="0"/>
    <xf numFmtId="166" fontId="4" fillId="0" borderId="2" pivotButton="0" quotePrefix="0" xfId="0"/>
    <xf numFmtId="165" fontId="10" fillId="5" borderId="2" pivotButton="0" quotePrefix="0" xfId="0"/>
    <xf numFmtId="165" fontId="7" fillId="3" borderId="2" pivotButton="0" quotePrefix="0" xfId="0"/>
    <xf numFmtId="0" fontId="10" fillId="0" borderId="2" applyAlignment="1" pivotButton="0" quotePrefix="0" xfId="0">
      <alignment horizontal="center"/>
    </xf>
    <xf numFmtId="3" fontId="4" fillId="0" borderId="2" pivotButton="0" quotePrefix="0" xfId="0"/>
    <xf numFmtId="164" fontId="4" fillId="0" borderId="2" pivotButton="0" quotePrefix="0" xfId="0"/>
    <xf numFmtId="164" fontId="15" fillId="7" borderId="2" pivotButton="0" quotePrefix="0" xfId="0"/>
    <xf numFmtId="164" fontId="16" fillId="5" borderId="2" pivotButton="0" quotePrefix="0" xfId="0"/>
    <xf numFmtId="0" fontId="10" fillId="8" borderId="2" applyAlignment="1" pivotButton="0" quotePrefix="0" xfId="0">
      <alignment horizontal="center"/>
    </xf>
    <xf numFmtId="3" fontId="4" fillId="8" borderId="2" pivotButton="0" quotePrefix="0" xfId="0"/>
    <xf numFmtId="164" fontId="4" fillId="8" borderId="2" pivotButton="0" quotePrefix="0" xfId="0"/>
    <xf numFmtId="0" fontId="10" fillId="8" borderId="3" applyAlignment="1" pivotButton="0" quotePrefix="0" xfId="0">
      <alignment horizontal="center"/>
    </xf>
    <xf numFmtId="3" fontId="4" fillId="8" borderId="3" pivotButton="0" quotePrefix="0" xfId="0"/>
    <xf numFmtId="164" fontId="4" fillId="8" borderId="3" pivotButton="0" quotePrefix="0" xfId="0"/>
    <xf numFmtId="164" fontId="15" fillId="7" borderId="3" pivotButton="0" quotePrefix="0" xfId="0"/>
    <xf numFmtId="164" fontId="16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Clientes activos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'Proyeccion'!D6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'Proyeccion'!$A$7:$A$30</f>
            </numRef>
          </cat>
          <val>
            <numRef>
              <f>'Proyeccion'!$D$7:$D$30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Utilidad acumulada y parte del socio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'Proyeccion'!L6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'Proyeccion'!$A$7:$A$30</f>
            </numRef>
          </cat>
          <val>
            <numRef>
              <f>'Proyeccion'!$L$7:$L$30</f>
            </numRef>
          </val>
        </ser>
        <ser>
          <idx val="1"/>
          <order val="1"/>
          <tx>
            <strRef>
              <f>'Proyeccion'!N6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'Proyeccion'!$A$7:$A$30</f>
            </numRef>
          </cat>
          <val>
            <numRef>
              <f>'Proyeccion'!$N$7:$N$30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38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4" customWidth="1" min="4" max="4"/>
    <col width="44" customWidth="1" min="5" max="5"/>
    <col width="4" customWidth="1" min="6" max="6"/>
  </cols>
  <sheetData>
    <row r="1">
      <c r="A1" s="1" t="inlineStr">
        <is>
          <t>Acuarius — costos y proyección</t>
        </is>
      </c>
    </row>
    <row r="2">
      <c r="A2" s="2" t="inlineStr">
        <is>
          <t>Plataforma de CRM y marketing con IA para pymes y agencias en LatAm</t>
        </is>
      </c>
    </row>
    <row r="3">
      <c r="A3" s="3" t="inlineStr">
        <is>
          <t>Actualizado con facturas reales · Septiembre de 2026 · Cifras en dólares</t>
        </is>
      </c>
    </row>
    <row r="5">
      <c r="A5" s="4" t="inlineStr">
        <is>
          <t>El negocio en cinco números</t>
        </is>
      </c>
      <c r="B5" s="5" t="n"/>
      <c r="C5" s="5" t="n"/>
      <c r="E5" s="4" t="inlineStr">
        <is>
          <t>Qué hay en cada hoja</t>
        </is>
      </c>
    </row>
    <row r="6">
      <c r="A6" s="6" t="inlineStr">
        <is>
          <t>Precio medio por cliente al mes</t>
        </is>
      </c>
      <c r="B6" s="7">
        <f>Supuestos!B8</f>
        <v/>
      </c>
      <c r="C6" s="3" t="inlineStr">
        <is>
          <t>Mezclando planes de $39 y $99</t>
        </is>
      </c>
      <c r="E6" s="8" t="inlineStr">
        <is>
          <t>Supuestos</t>
        </is>
      </c>
    </row>
    <row r="7" ht="30" customHeight="1">
      <c r="A7" s="6" t="inlineStr">
        <is>
          <t>Lo que cuesta atenderlo</t>
        </is>
      </c>
      <c r="B7" s="7">
        <f>Supuestos!B17</f>
        <v/>
      </c>
      <c r="C7" s="3" t="inlineStr">
        <is>
          <t>Servidores, IA, correos e imágenes</t>
        </is>
      </c>
      <c r="E7" s="9" t="inlineStr">
        <is>
          <t>Todos los números que se pueden cambiar. Empieza aquí.</t>
        </is>
      </c>
    </row>
    <row r="8">
      <c r="A8" s="6" t="inlineStr">
        <is>
          <t>Lo que cuesta cobrarle</t>
        </is>
      </c>
      <c r="B8" s="7">
        <f>Supuestos!B13</f>
        <v/>
      </c>
      <c r="C8" s="3" t="inlineStr">
        <is>
          <t>Comisión de la pasarela de pago</t>
        </is>
      </c>
    </row>
    <row r="9">
      <c r="A9" s="6" t="inlineStr">
        <is>
          <t>Utilidad por cliente al mes</t>
        </is>
      </c>
      <c r="B9" s="7">
        <f>Supuestos!B8-Supuestos!B17-Supuestos!B13</f>
        <v/>
      </c>
      <c r="C9" s="3" t="inlineStr">
        <is>
          <t>Antes de costos fijos y marketing</t>
        </is>
      </c>
      <c r="E9" s="8" t="inlineStr">
        <is>
          <t>Costos</t>
        </is>
      </c>
    </row>
    <row r="10" ht="30" customHeight="1">
      <c r="A10" s="6" t="inlineStr">
        <is>
          <t>Margen por cliente</t>
        </is>
      </c>
      <c r="B10" s="10">
        <f>IF(Supuestos!B8=0,0,(Supuestos!B8-Supuestos!B17-Supuestos!B13)/Supuestos!B8)</f>
        <v/>
      </c>
      <c r="C10" s="3" t="inlineStr">
        <is>
          <t>De cada dólar que entra, cuánto queda</t>
        </is>
      </c>
      <c r="E10" s="9" t="inlineStr">
        <is>
          <t>Lo que se paga cada mes y el precio de cada cosa que consume un cliente. Marca qué está medido y qué estimado.</t>
        </is>
      </c>
    </row>
    <row r="12">
      <c r="A12" s="11" t="inlineStr">
        <is>
          <t>El cliente que ya paga (datos reales)</t>
        </is>
      </c>
      <c r="B12" s="5" t="n"/>
      <c r="C12" s="5" t="n"/>
      <c r="E12" s="8" t="inlineStr">
        <is>
          <t>Margen</t>
        </is>
      </c>
    </row>
    <row r="13" ht="30" customHeight="1">
      <c r="A13" s="6" t="inlineStr">
        <is>
          <t>Certain Pezzano paga al mes</t>
        </is>
      </c>
      <c r="B13" s="12">
        <f>Supuestos!B6</f>
        <v/>
      </c>
      <c r="E13" s="9" t="inlineStr">
        <is>
          <t>Cuánto deja un cliente. La primera columna es el cliente REAL, medido.</t>
        </is>
      </c>
    </row>
    <row r="14">
      <c r="A14" s="6" t="inlineStr">
        <is>
          <t>Cuesta atenderlo</t>
        </is>
      </c>
      <c r="B14" s="13">
        <f>Margen!B12</f>
        <v/>
      </c>
    </row>
    <row r="15">
      <c r="A15" s="6" t="inlineStr">
        <is>
          <t>Comisión de cobro (Hotmart)</t>
        </is>
      </c>
      <c r="B15" s="13">
        <f>Margen!B14</f>
        <v/>
      </c>
      <c r="E15" s="8" t="inlineStr">
        <is>
          <t>Proyeccion</t>
        </is>
      </c>
    </row>
    <row r="16" ht="30" customHeight="1">
      <c r="A16" s="6" t="inlineStr">
        <is>
          <t>Deja al mes</t>
        </is>
      </c>
      <c r="B16" s="13">
        <f>Margen!B15</f>
        <v/>
      </c>
      <c r="E16" s="9" t="inlineStr">
        <is>
          <t>24 meses de clientes, ingresos, utilidad y la parte del socio.</t>
        </is>
      </c>
    </row>
    <row r="17">
      <c r="A17" s="6" t="inlineStr">
        <is>
          <t>Margen real</t>
        </is>
      </c>
      <c r="B17" s="14">
        <f>Margen!B16</f>
        <v/>
      </c>
    </row>
    <row r="18">
      <c r="A18" s="3" t="inlineStr">
        <is>
          <t>Usa el CRM a diario (443 actividades en 30 días) pero aún no los agentes de IA.</t>
        </is>
      </c>
    </row>
    <row r="19">
      <c r="E19" s="4" t="inlineStr">
        <is>
          <t>Lo que hay que saber antes de creerse esto</t>
        </is>
      </c>
    </row>
    <row r="20" ht="28" customHeight="1">
      <c r="A20" s="4" t="inlineStr">
        <is>
          <t>A dónde puede llegar</t>
        </is>
      </c>
      <c r="B20" s="5" t="n"/>
      <c r="C20" s="5" t="n"/>
      <c r="E20" s="9" t="inlineStr">
        <is>
          <t>·  Los costos fijos ya NO son estimados: salen de la factura de Vercel y del plan de Supabase contratado.</t>
        </is>
      </c>
    </row>
    <row r="21" ht="28" customHeight="1">
      <c r="A21" s="6" t="inlineStr">
        <is>
          <t>Clientes al cerrar el año 1</t>
        </is>
      </c>
      <c r="B21" s="15">
        <f>Proyeccion!D18</f>
        <v/>
      </c>
      <c r="E21" s="9" t="inlineStr">
        <is>
          <t>·  El costo de los agentes de IA sigue siendo el único rubro grande sin medir, porque nadie los ha usado.</t>
        </is>
      </c>
    </row>
    <row r="22" ht="28" customHeight="1">
      <c r="A22" s="6" t="inlineStr">
        <is>
          <t>Ingresos del mes 12</t>
        </is>
      </c>
      <c r="B22" s="16">
        <f>Proyeccion!E18</f>
        <v/>
      </c>
      <c r="E22" s="9" t="inlineStr">
        <is>
          <t>·  El crecimiento NO es un dato: son referencias del sector. Hoy hay un cliente pagando.</t>
        </is>
      </c>
    </row>
    <row r="23" ht="28" customHeight="1">
      <c r="A23" s="6" t="inlineStr">
        <is>
          <t>Utilidad del mes 12</t>
        </is>
      </c>
      <c r="B23" s="16">
        <f>Proyeccion!K18</f>
        <v/>
      </c>
      <c r="E23" s="9" t="inlineStr">
        <is>
          <t>·  La utilidad no descuenta sueldos ni impuestos, que dependen de cómo se organice la sociedad.</t>
        </is>
      </c>
    </row>
    <row r="24">
      <c r="A24" s="6" t="inlineStr">
        <is>
          <t>Clientes al cerrar el año 2</t>
        </is>
      </c>
      <c r="B24" s="15">
        <f>Proyeccion!D30</f>
        <v/>
      </c>
    </row>
    <row r="25">
      <c r="A25" s="6" t="inlineStr">
        <is>
          <t>Utilidad del mes 24</t>
        </is>
      </c>
      <c r="B25" s="16">
        <f>Proyeccion!K30</f>
        <v/>
      </c>
      <c r="E25" s="17" t="inlineStr">
        <is>
          <t>Amarillo = se puede cambiar.  Verde = dato real medido.</t>
        </is>
      </c>
    </row>
    <row r="26">
      <c r="A26" s="6" t="inlineStr">
        <is>
          <t>Utilidad acumulada en 24 meses</t>
        </is>
      </c>
      <c r="B26" s="16">
        <f>Proyeccion!M30</f>
        <v/>
      </c>
    </row>
    <row r="28">
      <c r="A28" s="18" t="inlineStr">
        <is>
          <t>Para el socio</t>
        </is>
      </c>
      <c r="B28" s="5" t="n"/>
      <c r="C28" s="5" t="n"/>
    </row>
    <row r="29">
      <c r="A29" s="19" t="inlineStr">
        <is>
          <t>Participación (cambia este número)</t>
        </is>
      </c>
      <c r="B29" s="20">
        <f>Supuestos!B27</f>
        <v/>
      </c>
      <c r="C29" s="3" t="inlineStr">
        <is>
          <t>Se edita en la hoja Supuestos, celda B27</t>
        </is>
      </c>
    </row>
    <row r="30">
      <c r="A30" s="6" t="inlineStr">
        <is>
          <t>Le corresponde en el mes 12</t>
        </is>
      </c>
      <c r="B30" s="12">
        <f>Proyeccion!M18</f>
        <v/>
      </c>
    </row>
    <row r="31">
      <c r="A31" s="6" t="inlineStr">
        <is>
          <t>Le corresponde en el mes 24</t>
        </is>
      </c>
      <c r="B31" s="12">
        <f>Proyeccion!M30</f>
        <v/>
      </c>
    </row>
    <row r="32">
      <c r="A32" s="6" t="inlineStr">
        <is>
          <t>Acumulado a 24 meses</t>
        </is>
      </c>
      <c r="B32" s="12">
        <f>Proyeccion!N30</f>
        <v/>
      </c>
    </row>
    <row r="33">
      <c r="A33" s="6" t="inlineStr">
        <is>
          <t>Al ritmo del mes 24, al año equivale a</t>
        </is>
      </c>
      <c r="B33" s="12">
        <f>Proyeccion!L30*12</f>
        <v/>
      </c>
    </row>
  </sheetData>
  <mergeCells count="1"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66" customWidth="1" min="3" max="3"/>
  </cols>
  <sheetData>
    <row r="1">
      <c r="A1" s="21" t="inlineStr">
        <is>
          <t>Supuestos del modelo</t>
        </is>
      </c>
    </row>
    <row r="2">
      <c r="A2" s="3" t="inlineStr">
        <is>
          <t>Cambia solo las celdas AMARILLAS. Todo lo demás se recalcula solo.</t>
        </is>
      </c>
    </row>
    <row r="4">
      <c r="A4" s="4" t="inlineStr">
        <is>
          <t>PRECIOS</t>
        </is>
      </c>
      <c r="B4" s="5" t="n"/>
      <c r="C4" s="5" t="n"/>
    </row>
    <row r="5">
      <c r="A5" s="22" t="inlineStr">
        <is>
          <t>Precio del plan Pro (al mes)</t>
        </is>
      </c>
      <c r="B5" s="23" t="n">
        <v>39</v>
      </c>
      <c r="C5" s="3" t="inlineStr">
        <is>
          <t>Lo que se cobra hoy</t>
        </is>
      </c>
    </row>
    <row r="6">
      <c r="A6" s="22" t="inlineStr">
        <is>
          <t>Precio del plan Agency (al mes)</t>
        </is>
      </c>
      <c r="B6" s="23" t="n">
        <v>99</v>
      </c>
      <c r="C6" s="3" t="inlineStr">
        <is>
          <t>Lo que se cobra hoy</t>
        </is>
      </c>
    </row>
    <row r="7">
      <c r="A7" s="22" t="inlineStr">
        <is>
          <t>De cada 10 clientes, cuántos son Agency</t>
        </is>
      </c>
      <c r="B7" s="24" t="n">
        <v>0.2</v>
      </c>
      <c r="C7" s="3" t="inlineStr">
        <is>
          <t>Mezcla esperada de la cartera</t>
        </is>
      </c>
    </row>
    <row r="8">
      <c r="A8" s="22" t="inlineStr">
        <is>
          <t>Precio medio por cliente</t>
        </is>
      </c>
      <c r="B8" s="25">
        <f>B5*(1-B7)+B6*B7</f>
        <v/>
      </c>
      <c r="C8" s="3" t="inlineStr">
        <is>
          <t>Se calcula solo: promedio ponderado</t>
        </is>
      </c>
    </row>
    <row r="10">
      <c r="A10" s="4" t="inlineStr">
        <is>
          <t>CÓMO SE COBRA  (la palanca más grande del modelo)</t>
        </is>
      </c>
      <c r="B10" s="5" t="n"/>
      <c r="C10" s="5" t="n"/>
    </row>
    <row r="11">
      <c r="A11" s="22" t="inlineStr">
        <is>
          <t>Comisión de la pasarela (%)</t>
        </is>
      </c>
      <c r="B11" s="24" t="n">
        <v>0.099</v>
      </c>
      <c r="C11" s="3" t="inlineStr">
        <is>
          <t>Hotmart 9,9% · Stripe 2,9% · MercadoPago 3,49%</t>
        </is>
      </c>
    </row>
    <row r="12">
      <c r="A12" s="22" t="inlineStr">
        <is>
          <t>Comisión fija por cada cobro</t>
        </is>
      </c>
      <c r="B12" s="26" t="n">
        <v>1</v>
      </c>
      <c r="C12" s="3" t="inlineStr">
        <is>
          <t>Hotmart $1,00 · Stripe $0,30 · MercadoPago $0,30</t>
        </is>
      </c>
    </row>
    <row r="13">
      <c r="A13" s="22" t="inlineStr">
        <is>
          <t>Se lleva de cada cliente</t>
        </is>
      </c>
      <c r="B13" s="25">
        <f>B8*B11+B12</f>
        <v/>
      </c>
      <c r="C13" s="3" t="inlineStr">
        <is>
          <t>Cambia las dos de arriba y mira este número</t>
        </is>
      </c>
    </row>
    <row r="15">
      <c r="A15" s="4" t="inlineStr">
        <is>
          <t>COSTOS</t>
        </is>
      </c>
      <c r="B15" s="5" t="n"/>
      <c r="C15" s="5" t="n"/>
    </row>
    <row r="16">
      <c r="A16" s="22" t="inlineStr">
        <is>
          <t>Costo fijo de la plataforma (al mes)</t>
        </is>
      </c>
      <c r="B16" s="27">
        <f>Costos!B18</f>
        <v/>
      </c>
      <c r="C16" s="3" t="inlineStr">
        <is>
          <t>Ver la hoja Costos. Cifras REALES de septiembre</t>
        </is>
      </c>
    </row>
    <row r="17">
      <c r="A17" s="22" t="inlineStr">
        <is>
          <t>Costo variable por cliente (al mes)</t>
        </is>
      </c>
      <c r="B17" s="27">
        <f>Margen!F12</f>
        <v/>
      </c>
      <c r="C17" s="3" t="inlineStr">
        <is>
          <t>Promedio ponderado Pro/Agency. Ver la hoja Margen</t>
        </is>
      </c>
    </row>
    <row r="19">
      <c r="A19" s="4" t="inlineStr">
        <is>
          <t>CRECIMIENTO</t>
        </is>
      </c>
      <c r="B19" s="5" t="n"/>
      <c r="C19" s="5" t="n"/>
    </row>
    <row r="20">
      <c r="A20" s="22" t="inlineStr">
        <is>
          <t>Clientes nuevos el primer mes</t>
        </is>
      </c>
      <c r="B20" s="28" t="n">
        <v>6</v>
      </c>
      <c r="C20" s="3" t="inlineStr">
        <is>
          <t>Con contenidos, eventos y publicidad arrancando</t>
        </is>
      </c>
    </row>
    <row r="21">
      <c r="A21" s="22" t="inlineStr">
        <is>
          <t>Cuánto crece la captación cada mes</t>
        </is>
      </c>
      <c r="B21" s="24" t="n">
        <v>0.16</v>
      </c>
      <c r="C21" s="3" t="inlineStr">
        <is>
          <t>Un 16% más de altas cada mes que el anterior</t>
        </is>
      </c>
    </row>
    <row r="22">
      <c r="A22" s="22" t="inlineStr">
        <is>
          <t>Cuántos se van cada mes (bajas)</t>
        </is>
      </c>
      <c r="B22" s="24" t="n">
        <v>0.055</v>
      </c>
      <c r="C22" s="3" t="inlineStr">
        <is>
          <t>De cada 100 clientes, 5 o 6 se dan de baja al mes</t>
        </is>
      </c>
    </row>
    <row r="23">
      <c r="A23" s="22" t="inlineStr">
        <is>
          <t>Inversión en marketing (al mes)</t>
        </is>
      </c>
      <c r="B23" s="23" t="n">
        <v>0</v>
      </c>
      <c r="C23" s="3" t="inlineStr">
        <is>
          <t>Ponlo en 0 para ver solo la plataforma. Con $900 el mes 1 da −$715</t>
        </is>
      </c>
    </row>
    <row r="24">
      <c r="A24" s="22" t="inlineStr">
        <is>
          <t>Tope de altas al mes</t>
        </is>
      </c>
      <c r="B24" s="28" t="n">
        <v>60</v>
      </c>
      <c r="C24" s="3" t="inlineStr">
        <is>
          <t>Techo realista: nadie capta infinito</t>
        </is>
      </c>
    </row>
    <row r="26">
      <c r="A26" s="4" t="inlineStr">
        <is>
          <t>SOCIEDAD</t>
        </is>
      </c>
      <c r="B26" s="5" t="n"/>
      <c r="C26" s="5" t="n"/>
    </row>
    <row r="27">
      <c r="A27" s="19" t="inlineStr">
        <is>
          <t>Participación del socio</t>
        </is>
      </c>
      <c r="B27" s="29" t="n">
        <v>0.3</v>
      </c>
      <c r="C27" s="3" t="inlineStr">
        <is>
          <t>← ESTA es la celda para jugar. Mira la hoja Proyección</t>
        </is>
      </c>
    </row>
    <row r="30">
      <c r="A30" s="30" t="inlineStr">
        <is>
          <t>De dónde salen los números</t>
        </is>
      </c>
    </row>
    <row r="31">
      <c r="A31" s="3" t="inlineStr">
        <is>
          <t>·  Costos fijos: la factura REAL de Vercel (7 sep 2026) y el plan de Supabase contratado el 1 de septiembre.</t>
        </is>
      </c>
    </row>
    <row r="32">
      <c r="A32" s="3" t="inlineStr">
        <is>
          <t>·  Costo de una imagen y del bot del inbox: MEDIDOS en la propia plataforma, no estimados.</t>
        </is>
      </c>
    </row>
    <row r="33">
      <c r="A33" s="3" t="inlineStr">
        <is>
          <t>·  Costo del chat con agentes: sigue siendo una ESTIMACIÓN — ningún cliente lo ha usado todavía.</t>
        </is>
      </c>
    </row>
    <row r="34">
      <c r="A34" s="3" t="inlineStr">
        <is>
          <t>·  Crecimiento y bajas: referencias de SaaS pequeño en LatAm. Son los números MENOS firmes del modelo.</t>
        </is>
      </c>
    </row>
    <row r="35">
      <c r="A35" s="3" t="inlineStr">
        <is>
          <t>·  Todo en dólares, sin impuestos ni IVA, que dependen del país.</t>
        </is>
      </c>
    </row>
  </sheetData>
  <mergeCells count="5">
    <mergeCell ref="A33:C33"/>
    <mergeCell ref="A32:C32"/>
    <mergeCell ref="A31:C31"/>
    <mergeCell ref="A34:C34"/>
    <mergeCell ref="A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2" customWidth="1" min="3" max="3"/>
    <col width="16" customWidth="1" min="4" max="4"/>
    <col width="56" customWidth="1" min="5" max="5"/>
  </cols>
  <sheetData>
    <row r="1">
      <c r="A1" s="21" t="inlineStr">
        <is>
          <t>Costos fijos de la plataforma</t>
        </is>
      </c>
    </row>
    <row r="2">
      <c r="A2" s="3" t="inlineStr">
        <is>
          <t>Lo que cuesta tener Acuarius encendido, haya 1 cliente o 300. Cifras de la factura de septiembre de 2026.</t>
        </is>
      </c>
    </row>
    <row r="4" ht="32" customHeight="1">
      <c r="A4" s="31" t="inlineStr">
        <is>
          <t>Servicio</t>
        </is>
      </c>
      <c r="B4" s="31" t="inlineStr">
        <is>
          <t>Para qué</t>
        </is>
      </c>
      <c r="C4" s="31" t="inlineStr">
        <is>
          <t>Al mes</t>
        </is>
      </c>
      <c r="D4" s="31" t="inlineStr">
        <is>
          <t>¿Real o previsto?</t>
        </is>
      </c>
      <c r="E4" s="31" t="inlineStr">
        <is>
          <t>Nota</t>
        </is>
      </c>
    </row>
    <row r="5">
      <c r="A5" s="32" t="inlineStr">
        <is>
          <t>Vercel Pro</t>
        </is>
      </c>
      <c r="B5" s="6" t="inlineStr">
        <is>
          <t>Donde vive la aplicación</t>
        </is>
      </c>
      <c r="C5" s="33" t="n">
        <v>20</v>
      </c>
      <c r="D5" s="34" t="inlineStr">
        <is>
          <t>REAL</t>
        </is>
      </c>
      <c r="E5" s="35" t="inlineStr">
        <is>
          <t>Factura del 7 de septiembre</t>
        </is>
      </c>
    </row>
    <row r="6">
      <c r="A6" s="32" t="inlineStr">
        <is>
          <t>Vercel — builds</t>
        </is>
      </c>
      <c r="B6" s="6" t="inlineStr">
        <is>
          <t>CPU de cada despliegue</t>
        </is>
      </c>
      <c r="C6" s="33" t="n">
        <v>1.3</v>
      </c>
      <c r="D6" s="36" t="inlineStr">
        <is>
          <t>PREVISTO</t>
        </is>
      </c>
      <c r="E6" s="35" t="inlineStr">
        <is>
          <t>Era $9,54 con la máquina «turbo»; bajada a «standard» el 8/09</t>
        </is>
      </c>
    </row>
    <row r="7">
      <c r="A7" s="32" t="inlineStr">
        <is>
          <t>Supabase Pro</t>
        </is>
      </c>
      <c r="B7" s="6" t="inlineStr">
        <is>
          <t>La base de datos y sus respaldos</t>
        </is>
      </c>
      <c r="C7" s="33" t="n">
        <v>25</v>
      </c>
      <c r="D7" s="34" t="inlineStr">
        <is>
          <t>REAL</t>
        </is>
      </c>
      <c r="E7" s="35" t="inlineStr">
        <is>
          <t>Contratado el 1 de septiembre. Sin esto no hay copias de seguridad</t>
        </is>
      </c>
    </row>
    <row r="8">
      <c r="A8" s="32" t="inlineStr">
        <is>
          <t>Resend</t>
        </is>
      </c>
      <c r="B8" s="6" t="inlineStr">
        <is>
          <t>El envío de correos</t>
        </is>
      </c>
      <c r="C8" s="33" t="n">
        <v>0</v>
      </c>
      <c r="D8" s="34" t="inlineStr">
        <is>
          <t>REAL</t>
        </is>
      </c>
      <c r="E8" s="35" t="inlineStr">
        <is>
          <t>Gratuito: se usa el 4% del cupo (110 de 3.000 correos al mes)</t>
        </is>
      </c>
    </row>
    <row r="9">
      <c r="A9" s="32" t="inlineStr">
        <is>
          <t>Clerk</t>
        </is>
      </c>
      <c r="B9" s="6" t="inlineStr">
        <is>
          <t>Las cuentas y contraseñas</t>
        </is>
      </c>
      <c r="C9" s="33" t="n">
        <v>0</v>
      </c>
      <c r="D9" s="34" t="inlineStr">
        <is>
          <t>REAL</t>
        </is>
      </c>
      <c r="E9" s="35" t="inlineStr">
        <is>
          <t>Gratis hasta 10.000 usuarios activos</t>
        </is>
      </c>
    </row>
    <row r="10">
      <c r="A10" s="32" t="inlineStr">
        <is>
          <t>Dominio</t>
        </is>
      </c>
      <c r="B10" s="6" t="inlineStr">
        <is>
          <t>acuarius.app</t>
        </is>
      </c>
      <c r="C10" s="33" t="n">
        <v>1.5</v>
      </c>
      <c r="D10" s="34" t="inlineStr">
        <is>
          <t>REAL</t>
        </is>
      </c>
      <c r="E10" s="35" t="inlineStr">
        <is>
          <t>Prorrateado del pago anual</t>
        </is>
      </c>
    </row>
    <row r="11">
      <c r="A11" s="37" t="inlineStr">
        <is>
          <t>TOTAL AL MES</t>
        </is>
      </c>
      <c r="B11" s="38" t="n"/>
      <c r="C11" s="39">
        <f>SUM(C5:C10)</f>
        <v/>
      </c>
      <c r="D11" s="38" t="n"/>
      <c r="E11" s="38" t="n"/>
    </row>
    <row r="13">
      <c r="A13" s="30" t="inlineStr">
        <is>
          <t>Lo que demuestra la factura real</t>
        </is>
      </c>
    </row>
    <row r="14" ht="26" customHeight="1">
      <c r="A14" s="40" t="inlineStr">
        <is>
          <t>De los $29,99 que cobró Vercel en agosto, $9,54 fueron CPU de nuestros propios despliegues (260 en el mes) y solo $0,20 fue atender a los clientes: 66.107 llamadas a la API costaron 2 centavos y 0,28 GB de tráfico, 1 centavo. Es decir: el costo de Vercel es de DESARROLLO, no de operación, y no crece cuando entran clientes. Con la máquina de build corregida, esa partida baja de $9,54 a cerca de $1,30.</t>
        </is>
      </c>
    </row>
    <row r="15" ht="26" customHeight="1"/>
    <row r="16" ht="26" customHeight="1"/>
    <row r="18">
      <c r="A18" s="8" t="inlineStr">
        <is>
          <t>Costo fijo usado en la proyección</t>
        </is>
      </c>
      <c r="B18" s="39">
        <f>C11</f>
        <v/>
      </c>
    </row>
    <row r="21">
      <c r="A21" s="21" t="inlineStr">
        <is>
          <t>Lo que cuesta cada cosa que hace un cliente</t>
        </is>
      </c>
    </row>
    <row r="22">
      <c r="A22" s="3" t="inlineStr">
        <is>
          <t>Los ladrillos con los que se arma el costo de cada cliente. Fíjate en la columna de la derecha.</t>
        </is>
      </c>
    </row>
    <row r="24" ht="32" customHeight="1">
      <c r="A24" s="31" t="inlineStr">
        <is>
          <t>Concepto</t>
        </is>
      </c>
      <c r="B24" s="31" t="inlineStr">
        <is>
          <t>Cuesta</t>
        </is>
      </c>
      <c r="C24" s="31" t="inlineStr">
        <is>
          <t>Unidad</t>
        </is>
      </c>
      <c r="D24" s="31" t="inlineStr">
        <is>
          <t>Proveedor</t>
        </is>
      </c>
      <c r="E24" s="31" t="inlineStr">
        <is>
          <t>¿Medido o estimado?</t>
        </is>
      </c>
    </row>
    <row r="25">
      <c r="A25" s="32" t="inlineStr">
        <is>
          <t>Mensaje a un agente IA</t>
        </is>
      </c>
      <c r="B25" s="33" t="n">
        <v>0.0389</v>
      </c>
      <c r="C25" s="6" t="inlineStr">
        <is>
          <t>por mensaje</t>
        </is>
      </c>
      <c r="D25" s="6" t="inlineStr">
        <is>
          <t>Anthropic</t>
        </is>
      </c>
      <c r="E25" s="41" t="inlineStr">
        <is>
          <t>ESTIMADO — ningún cliente ha usado los agentes todavía</t>
        </is>
      </c>
    </row>
    <row r="26">
      <c r="A26" s="32" t="inlineStr">
        <is>
          <t>Respuesta del bot del inbox</t>
        </is>
      </c>
      <c r="B26" s="42" t="n">
        <v>0.0019</v>
      </c>
      <c r="C26" s="6" t="inlineStr">
        <is>
          <t>por mensaje</t>
        </is>
      </c>
      <c r="D26" s="6" t="inlineStr">
        <is>
          <t>Anthropic</t>
        </is>
      </c>
      <c r="E26" s="43" t="inlineStr">
        <is>
          <t>MEDIDO en la plataforma (corre en Haiku, prompt corto)</t>
        </is>
      </c>
    </row>
    <row r="27">
      <c r="A27" s="32" t="inlineStr">
        <is>
          <t>Imagen con IA</t>
        </is>
      </c>
      <c r="B27" s="33" t="n">
        <v>0.06</v>
      </c>
      <c r="C27" s="6" t="inlineStr">
        <is>
          <t>por imagen</t>
        </is>
      </c>
      <c r="D27" s="6" t="inlineStr">
        <is>
          <t>fal.ai</t>
        </is>
      </c>
      <c r="E27" s="43" t="inlineStr">
        <is>
          <t>MEDIDO: 4 imágenes registradas, $0,06 exactos cada una</t>
        </is>
      </c>
    </row>
    <row r="28">
      <c r="A28" s="32" t="inlineStr">
        <is>
          <t>Video con IA</t>
        </is>
      </c>
      <c r="B28" s="33" t="n">
        <v>0.45</v>
      </c>
      <c r="C28" s="6" t="inlineStr">
        <is>
          <t>por video</t>
        </is>
      </c>
      <c r="D28" s="6" t="inlineStr">
        <is>
          <t>BytePlus</t>
        </is>
      </c>
      <c r="E28" s="41" t="inlineStr">
        <is>
          <t>ESTIMADO — tarifa de lista de Seedance 2.0</t>
        </is>
      </c>
    </row>
    <row r="29">
      <c r="A29" s="32" t="inlineStr">
        <is>
          <t>Correo de campaña</t>
        </is>
      </c>
      <c r="B29" s="42" t="n">
        <v>0.0004</v>
      </c>
      <c r="C29" s="6" t="inlineStr">
        <is>
          <t>por correo</t>
        </is>
      </c>
      <c r="D29" s="6" t="inlineStr">
        <is>
          <t>Resend</t>
        </is>
      </c>
      <c r="E29" s="41" t="inlineStr">
        <is>
          <t>ESTIMADO — $20 por 50.000 correos del plan de pago</t>
        </is>
      </c>
    </row>
    <row r="30">
      <c r="A30" s="32" t="inlineStr">
        <is>
          <t>Un usuario en la cuenta</t>
        </is>
      </c>
      <c r="B30" s="33" t="n">
        <v>0.1</v>
      </c>
      <c r="C30" s="6" t="inlineStr">
        <is>
          <t>por usuario al mes</t>
        </is>
      </c>
      <c r="D30" s="6" t="inlineStr">
        <is>
          <t>Vercel+Supabase</t>
        </is>
      </c>
      <c r="E30" s="43" t="inlineStr">
        <is>
          <t>MEDIDO a la baja: toda la plataforma costó $0,20 en agosto</t>
        </is>
      </c>
    </row>
    <row r="31">
      <c r="A31" s="32" t="inlineStr">
        <is>
          <t>Mil contactos guardados</t>
        </is>
      </c>
      <c r="B31" s="33" t="n">
        <v>0.2</v>
      </c>
      <c r="C31" s="6" t="inlineStr">
        <is>
          <t>por 1.000 al mes</t>
        </is>
      </c>
      <c r="D31" s="6" t="inlineStr">
        <is>
          <t>Supabase</t>
        </is>
      </c>
      <c r="E31" s="41" t="inlineStr">
        <is>
          <t>ESTIMADO — la base entera ocupa 26 MB de 8 GB incluidos</t>
        </is>
      </c>
    </row>
    <row r="34">
      <c r="A34" s="9" t="inlineStr">
        <is>
          <t>El mensaje a un agente es 20 veces más caro que la respuesta del bot del inbox, y es el mismo modelo: la diferencia está en el tamaño del texto de instrucciones que se le manda. Es también el ÚNICO rubro grande que sigue sin medirse, porque ningún cliente ha usado los agentes.</t>
        </is>
      </c>
    </row>
    <row r="35"/>
  </sheetData>
  <mergeCells count="2">
    <mergeCell ref="A34:E35"/>
    <mergeCell ref="A14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  <col width="16" customWidth="1" min="4" max="4"/>
    <col width="16" customWidth="1" min="5" max="5"/>
    <col width="20" customWidth="1" min="6" max="6"/>
  </cols>
  <sheetData>
    <row r="1">
      <c r="A1" s="21" t="inlineStr">
        <is>
          <t>Cuánto deja cada cliente</t>
        </is>
      </c>
    </row>
    <row r="2">
      <c r="A2" s="3" t="inlineStr">
        <is>
          <t>La primera columna NO es un supuesto: es el consumo medido de Certain Pezzano en 30 días. Las demás son perfiles para proyectar. Cambia las cantidades amarillas y mira el margen.</t>
        </is>
      </c>
    </row>
    <row r="4" ht="32" customHeight="1">
      <c r="A4" s="31" t="inlineStr">
        <is>
          <t>Qué consume al mes</t>
        </is>
      </c>
      <c r="B4" s="44" t="inlineStr">
        <is>
          <t>CERTAIN PEZZANO
(real, medido)</t>
        </is>
      </c>
      <c r="C4" s="31" t="inlineStr">
        <is>
          <t>Pro típico</t>
        </is>
      </c>
      <c r="D4" s="31" t="inlineStr">
        <is>
          <t>Agency típico</t>
        </is>
      </c>
      <c r="E4" s="31" t="inlineStr">
        <is>
          <t>Agency intenso</t>
        </is>
      </c>
      <c r="F4" s="31" t="inlineStr">
        <is>
          <t>Media de la cartera</t>
        </is>
      </c>
    </row>
    <row r="5">
      <c r="A5" s="6" t="inlineStr">
        <is>
          <t>Usuarios en la cuenta</t>
        </is>
      </c>
      <c r="B5" s="45" t="n">
        <v>2</v>
      </c>
      <c r="C5" s="46" t="n">
        <v>3</v>
      </c>
      <c r="D5" s="46" t="n">
        <v>9</v>
      </c>
      <c r="E5" s="46" t="n">
        <v>10</v>
      </c>
    </row>
    <row r="6">
      <c r="A6" s="6" t="inlineStr">
        <is>
          <t>Contactos guardados (miles)</t>
        </is>
      </c>
      <c r="B6" s="47" t="n">
        <v>0.079</v>
      </c>
      <c r="C6" s="46" t="n">
        <v>1</v>
      </c>
      <c r="D6" s="46" t="n">
        <v>5</v>
      </c>
      <c r="E6" s="46" t="n">
        <v>5</v>
      </c>
    </row>
    <row r="7">
      <c r="A7" s="6" t="inlineStr">
        <is>
          <t>Mensajes a los agentes</t>
        </is>
      </c>
      <c r="B7" s="45" t="n">
        <v>0</v>
      </c>
      <c r="C7" s="46" t="n">
        <v>40</v>
      </c>
      <c r="D7" s="46" t="n">
        <v>60</v>
      </c>
      <c r="E7" s="46" t="n">
        <v>400</v>
      </c>
    </row>
    <row r="8">
      <c r="A8" s="6" t="inlineStr">
        <is>
          <t>Chats atendidos por el bot</t>
        </is>
      </c>
      <c r="B8" s="45" t="n">
        <v>0</v>
      </c>
      <c r="C8" s="46" t="n">
        <v>400</v>
      </c>
      <c r="D8" s="46" t="n">
        <v>800</v>
      </c>
      <c r="E8" s="46" t="n">
        <v>2500</v>
      </c>
    </row>
    <row r="9">
      <c r="A9" s="6" t="inlineStr">
        <is>
          <t>Imágenes generadas</t>
        </is>
      </c>
      <c r="B9" s="45" t="n">
        <v>0</v>
      </c>
      <c r="C9" s="46" t="n">
        <v>15</v>
      </c>
      <c r="D9" s="46" t="n">
        <v>10</v>
      </c>
      <c r="E9" s="46" t="n">
        <v>60</v>
      </c>
    </row>
    <row r="10">
      <c r="A10" s="6" t="inlineStr">
        <is>
          <t>Videos generados</t>
        </is>
      </c>
      <c r="B10" s="45" t="n">
        <v>0</v>
      </c>
      <c r="C10" s="46" t="n">
        <v>2</v>
      </c>
      <c r="D10" s="46" t="n">
        <v>1</v>
      </c>
      <c r="E10" s="46" t="n">
        <v>5</v>
      </c>
    </row>
    <row r="11">
      <c r="A11" s="6" t="inlineStr">
        <is>
          <t>Correos enviados</t>
        </is>
      </c>
      <c r="B11" s="45" t="n">
        <v>49</v>
      </c>
      <c r="C11" s="46" t="n">
        <v>2000</v>
      </c>
      <c r="D11" s="46" t="n">
        <v>6000</v>
      </c>
      <c r="E11" s="46" t="n">
        <v>12000</v>
      </c>
    </row>
    <row r="12">
      <c r="A12" s="48" t="inlineStr">
        <is>
          <t>Costo variable del cliente</t>
        </is>
      </c>
      <c r="B12" s="49">
        <f>B5*Costos!$B$30+B6*Costos!$B$31+B7*Costos!$B$25+B8*Costos!$B$26+B9*Costos!$B$27+B10*Costos!$B$28+B11*Costos!$B$29</f>
        <v/>
      </c>
      <c r="C12" s="49">
        <f>C5*Costos!$B$30+C6*Costos!$B$31+C7*Costos!$B$25+C8*Costos!$B$26+C9*Costos!$B$27+C10*Costos!$B$28+C11*Costos!$B$29</f>
        <v/>
      </c>
      <c r="D12" s="49">
        <f>D5*Costos!$B$30+D6*Costos!$B$31+D7*Costos!$B$25+D8*Costos!$B$26+D9*Costos!$B$27+D10*Costos!$B$28+D11*Costos!$B$29</f>
        <v/>
      </c>
      <c r="E12" s="49">
        <f>E5*Costos!$B$30+E6*Costos!$B$31+E7*Costos!$B$25+E8*Costos!$B$26+E9*Costos!$B$27+E10*Costos!$B$28+E11*Costos!$B$29</f>
        <v/>
      </c>
      <c r="F12" s="39">
        <f>(C12*(1-Supuestos!$B$7))+(D12*Supuestos!$B$7)</f>
        <v/>
      </c>
    </row>
    <row r="13">
      <c r="A13" s="6" t="inlineStr">
        <is>
          <t>Precio que paga</t>
        </is>
      </c>
      <c r="B13" s="50">
        <f>Supuestos!$B$6</f>
        <v/>
      </c>
      <c r="C13" s="50">
        <f>Supuestos!$B$5</f>
        <v/>
      </c>
      <c r="D13" s="50">
        <f>Supuestos!$B$6</f>
        <v/>
      </c>
      <c r="E13" s="50">
        <f>Supuestos!$B$6</f>
        <v/>
      </c>
      <c r="F13" s="39">
        <f>Supuestos!$B$8</f>
        <v/>
      </c>
    </row>
    <row r="14">
      <c r="A14" s="6" t="inlineStr">
        <is>
          <t>Comisión de cobro</t>
        </is>
      </c>
      <c r="B14" s="51">
        <f>B13*Supuestos!$B$11+Supuestos!$B$12</f>
        <v/>
      </c>
      <c r="C14" s="51">
        <f>C13*Supuestos!$B$11+Supuestos!$B$12</f>
        <v/>
      </c>
      <c r="D14" s="51">
        <f>D13*Supuestos!$B$11+Supuestos!$B$12</f>
        <v/>
      </c>
      <c r="E14" s="51">
        <f>E13*Supuestos!$B$11+Supuestos!$B$12</f>
        <v/>
      </c>
      <c r="F14" s="39">
        <f>F13*Supuestos!$B$11+Supuestos!$B$12</f>
        <v/>
      </c>
    </row>
    <row r="15">
      <c r="A15" s="37" t="inlineStr">
        <is>
          <t>UTILIDAD</t>
        </is>
      </c>
      <c r="B15" s="39">
        <f>B13-B12-B14</f>
        <v/>
      </c>
      <c r="C15" s="39">
        <f>C13-C12-C14</f>
        <v/>
      </c>
      <c r="D15" s="39">
        <f>D13-D12-D14</f>
        <v/>
      </c>
      <c r="E15" s="39">
        <f>E13-E12-E14</f>
        <v/>
      </c>
      <c r="F15" s="39">
        <f>F13-F12-F14</f>
        <v/>
      </c>
    </row>
    <row r="16">
      <c r="A16" s="37" t="inlineStr">
        <is>
          <t>MARGEN</t>
        </is>
      </c>
      <c r="B16" s="52">
        <f>IF(B13=0,0,B15/B13)</f>
        <v/>
      </c>
      <c r="C16" s="52">
        <f>IF(C13=0,0,C15/C13)</f>
        <v/>
      </c>
      <c r="D16" s="52">
        <f>IF(D13=0,0,D15/D13)</f>
        <v/>
      </c>
      <c r="E16" s="52">
        <f>IF(E13=0,0,E15/E13)</f>
        <v/>
      </c>
      <c r="F16" s="52">
        <f>IF(F13=0,0,F15/F13)</f>
        <v/>
      </c>
    </row>
    <row r="18">
      <c r="A18" s="30" t="inlineStr">
        <is>
          <t>Por qué el cliente real deja tanto más de lo que dice el modelo</t>
        </is>
      </c>
    </row>
    <row r="19" ht="28" customHeight="1">
      <c r="A19" s="40" t="inlineStr">
        <is>
          <t>Porque no usa las funciones caras. En 30 días hizo 443 actividades de CRM y 55 tareas —usa la plataforma a diario— pero cero mensajes a los agentes, cero imágenes, cero videos y cero conversaciones de inbox (WhatsApp sigue bloqueado por Meta). Su costo real de servicio no llega a $1 al mes. Si mañana empieza a usar los agentes, el costo sube: por eso están las otras tres columnas.</t>
        </is>
      </c>
    </row>
    <row r="20" ht="28" customHeight="1"/>
    <row r="22">
      <c r="A22" s="3" t="inlineStr">
        <is>
          <t>La media de la cartera (última columna) mezcla Pro típico y Agency típico según el % de la hoja Supuestos, y es la que usa la proyección.</t>
        </is>
      </c>
    </row>
  </sheetData>
  <mergeCells count="2">
    <mergeCell ref="A22:F22"/>
    <mergeCell ref="A19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1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1" customWidth="1" min="10" max="10"/>
    <col width="12" customWidth="1" min="11" max="11"/>
    <col width="14" customWidth="1" min="12" max="12"/>
    <col width="12" customWidth="1" min="13" max="13"/>
    <col width="14" customWidth="1" min="14" max="14"/>
  </cols>
  <sheetData>
    <row r="1">
      <c r="A1" s="21" t="inlineStr">
        <is>
          <t>Proyección a 24 meses</t>
        </is>
      </c>
    </row>
    <row r="2">
      <c r="A2" s="3" t="inlineStr">
        <is>
          <t>Todo sale de la hoja Supuestos. Cambia la participación del socio allí (celda B27) y las dos últimas columnas se recalculan solas.</t>
        </is>
      </c>
    </row>
    <row r="4">
      <c r="A4" s="8" t="inlineStr">
        <is>
          <t>Participación del socio:</t>
        </is>
      </c>
      <c r="C4" s="53">
        <f>Supuestos!B27</f>
        <v/>
      </c>
      <c r="D4" s="3" t="inlineStr">
        <is>
          <t>← se cambia en la hoja Supuestos</t>
        </is>
      </c>
    </row>
    <row r="6" ht="32" customHeight="1">
      <c r="A6" s="31" t="inlineStr">
        <is>
          <t>Mes</t>
        </is>
      </c>
      <c r="B6" s="31" t="inlineStr">
        <is>
          <t>Altas</t>
        </is>
      </c>
      <c r="C6" s="31" t="inlineStr">
        <is>
          <t>Bajas</t>
        </is>
      </c>
      <c r="D6" s="31" t="inlineStr">
        <is>
          <t>Clientes
activos</t>
        </is>
      </c>
      <c r="E6" s="31" t="inlineStr">
        <is>
          <t>Ingresos</t>
        </is>
      </c>
      <c r="F6" s="31" t="inlineStr">
        <is>
          <t>Comisión
de cobro</t>
        </is>
      </c>
      <c r="G6" s="31" t="inlineStr">
        <is>
          <t>Costo
variable</t>
        </is>
      </c>
      <c r="H6" s="31" t="inlineStr">
        <is>
          <t>Costo fijo
plataforma</t>
        </is>
      </c>
      <c r="I6" s="31" t="inlineStr">
        <is>
          <t>UTILIDAD DE
OPERACIÓN</t>
        </is>
      </c>
      <c r="J6" s="31" t="inlineStr">
        <is>
          <t>Marketing</t>
        </is>
      </c>
      <c r="K6" s="31" t="inlineStr">
        <is>
          <t>Utilidad
final</t>
        </is>
      </c>
      <c r="L6" s="31" t="inlineStr">
        <is>
          <t>Utilidad
acumulada</t>
        </is>
      </c>
      <c r="M6" s="31" t="inlineStr">
        <is>
          <t>Socio
del mes</t>
        </is>
      </c>
      <c r="N6" s="31" t="inlineStr">
        <is>
          <t>Socio
acumulado</t>
        </is>
      </c>
    </row>
    <row r="7">
      <c r="A7" s="54" t="n">
        <v>1</v>
      </c>
      <c r="B7" s="55">
        <f>MIN(Supuestos!$B$24,ROUND(Supuestos!$B$20*(1+Supuestos!$B$21)^0,0))</f>
        <v/>
      </c>
      <c r="C7" s="55">
        <f>0</f>
        <v/>
      </c>
      <c r="D7" s="55">
        <f>B7-C7</f>
        <v/>
      </c>
      <c r="E7" s="56">
        <f>D7*Supuestos!$B$8</f>
        <v/>
      </c>
      <c r="F7" s="56">
        <f>E7*Supuestos!$B$11+D7*Supuestos!$B$12</f>
        <v/>
      </c>
      <c r="G7" s="56">
        <f>D7*Supuestos!$B$17</f>
        <v/>
      </c>
      <c r="H7" s="56">
        <f>Supuestos!$B$16</f>
        <v/>
      </c>
      <c r="I7" s="57">
        <f>E7-F7-G7-H7</f>
        <v/>
      </c>
      <c r="J7" s="56">
        <f>Supuestos!$B$23</f>
        <v/>
      </c>
      <c r="K7" s="56">
        <f>I7-J7</f>
        <v/>
      </c>
      <c r="L7" s="56">
        <f>K7</f>
        <v/>
      </c>
      <c r="M7" s="58">
        <f>K7*Supuestos!$B$27</f>
        <v/>
      </c>
      <c r="N7" s="58">
        <f>M7</f>
        <v/>
      </c>
    </row>
    <row r="8">
      <c r="A8" s="59" t="n">
        <v>2</v>
      </c>
      <c r="B8" s="60">
        <f>MIN(Supuestos!$B$24,ROUND(Supuestos!$B$20*(1+Supuestos!$B$21)^1,0))</f>
        <v/>
      </c>
      <c r="C8" s="60">
        <f>ROUND(D7*Supuestos!$B$22,0)</f>
        <v/>
      </c>
      <c r="D8" s="60">
        <f>D7+B8-C8</f>
        <v/>
      </c>
      <c r="E8" s="61">
        <f>D8*Supuestos!$B$8</f>
        <v/>
      </c>
      <c r="F8" s="61">
        <f>E8*Supuestos!$B$11+D8*Supuestos!$B$12</f>
        <v/>
      </c>
      <c r="G8" s="61">
        <f>D8*Supuestos!$B$17</f>
        <v/>
      </c>
      <c r="H8" s="61">
        <f>Supuestos!$B$16</f>
        <v/>
      </c>
      <c r="I8" s="57">
        <f>E8-F8-G8-H8</f>
        <v/>
      </c>
      <c r="J8" s="61">
        <f>Supuestos!$B$23</f>
        <v/>
      </c>
      <c r="K8" s="61">
        <f>I8-J8</f>
        <v/>
      </c>
      <c r="L8" s="61">
        <f>L7+K8</f>
        <v/>
      </c>
      <c r="M8" s="58">
        <f>K8*Supuestos!$B$27</f>
        <v/>
      </c>
      <c r="N8" s="58">
        <f>N7+M8</f>
        <v/>
      </c>
    </row>
    <row r="9">
      <c r="A9" s="54" t="n">
        <v>3</v>
      </c>
      <c r="B9" s="55">
        <f>MIN(Supuestos!$B$24,ROUND(Supuestos!$B$20*(1+Supuestos!$B$21)^2,0))</f>
        <v/>
      </c>
      <c r="C9" s="55">
        <f>ROUND(D8*Supuestos!$B$22,0)</f>
        <v/>
      </c>
      <c r="D9" s="55">
        <f>D8+B9-C9</f>
        <v/>
      </c>
      <c r="E9" s="56">
        <f>D9*Supuestos!$B$8</f>
        <v/>
      </c>
      <c r="F9" s="56">
        <f>E9*Supuestos!$B$11+D9*Supuestos!$B$12</f>
        <v/>
      </c>
      <c r="G9" s="56">
        <f>D9*Supuestos!$B$17</f>
        <v/>
      </c>
      <c r="H9" s="56">
        <f>Supuestos!$B$16</f>
        <v/>
      </c>
      <c r="I9" s="57">
        <f>E9-F9-G9-H9</f>
        <v/>
      </c>
      <c r="J9" s="56">
        <f>Supuestos!$B$23</f>
        <v/>
      </c>
      <c r="K9" s="56">
        <f>I9-J9</f>
        <v/>
      </c>
      <c r="L9" s="56">
        <f>L8+K9</f>
        <v/>
      </c>
      <c r="M9" s="58">
        <f>K9*Supuestos!$B$27</f>
        <v/>
      </c>
      <c r="N9" s="58">
        <f>N8+M9</f>
        <v/>
      </c>
    </row>
    <row r="10">
      <c r="A10" s="59" t="n">
        <v>4</v>
      </c>
      <c r="B10" s="60">
        <f>MIN(Supuestos!$B$24,ROUND(Supuestos!$B$20*(1+Supuestos!$B$21)^3,0))</f>
        <v/>
      </c>
      <c r="C10" s="60">
        <f>ROUND(D9*Supuestos!$B$22,0)</f>
        <v/>
      </c>
      <c r="D10" s="60">
        <f>D9+B10-C10</f>
        <v/>
      </c>
      <c r="E10" s="61">
        <f>D10*Supuestos!$B$8</f>
        <v/>
      </c>
      <c r="F10" s="61">
        <f>E10*Supuestos!$B$11+D10*Supuestos!$B$12</f>
        <v/>
      </c>
      <c r="G10" s="61">
        <f>D10*Supuestos!$B$17</f>
        <v/>
      </c>
      <c r="H10" s="61">
        <f>Supuestos!$B$16</f>
        <v/>
      </c>
      <c r="I10" s="57">
        <f>E10-F10-G10-H10</f>
        <v/>
      </c>
      <c r="J10" s="61">
        <f>Supuestos!$B$23</f>
        <v/>
      </c>
      <c r="K10" s="61">
        <f>I10-J10</f>
        <v/>
      </c>
      <c r="L10" s="61">
        <f>L9+K10</f>
        <v/>
      </c>
      <c r="M10" s="58">
        <f>K10*Supuestos!$B$27</f>
        <v/>
      </c>
      <c r="N10" s="58">
        <f>N9+M10</f>
        <v/>
      </c>
    </row>
    <row r="11">
      <c r="A11" s="54" t="n">
        <v>5</v>
      </c>
      <c r="B11" s="55">
        <f>MIN(Supuestos!$B$24,ROUND(Supuestos!$B$20*(1+Supuestos!$B$21)^4,0))</f>
        <v/>
      </c>
      <c r="C11" s="55">
        <f>ROUND(D10*Supuestos!$B$22,0)</f>
        <v/>
      </c>
      <c r="D11" s="55">
        <f>D10+B11-C11</f>
        <v/>
      </c>
      <c r="E11" s="56">
        <f>D11*Supuestos!$B$8</f>
        <v/>
      </c>
      <c r="F11" s="56">
        <f>E11*Supuestos!$B$11+D11*Supuestos!$B$12</f>
        <v/>
      </c>
      <c r="G11" s="56">
        <f>D11*Supuestos!$B$17</f>
        <v/>
      </c>
      <c r="H11" s="56">
        <f>Supuestos!$B$16</f>
        <v/>
      </c>
      <c r="I11" s="57">
        <f>E11-F11-G11-H11</f>
        <v/>
      </c>
      <c r="J11" s="56">
        <f>Supuestos!$B$23</f>
        <v/>
      </c>
      <c r="K11" s="56">
        <f>I11-J11</f>
        <v/>
      </c>
      <c r="L11" s="56">
        <f>L10+K11</f>
        <v/>
      </c>
      <c r="M11" s="58">
        <f>K11*Supuestos!$B$27</f>
        <v/>
      </c>
      <c r="N11" s="58">
        <f>N10+M11</f>
        <v/>
      </c>
    </row>
    <row r="12">
      <c r="A12" s="59" t="n">
        <v>6</v>
      </c>
      <c r="B12" s="60">
        <f>MIN(Supuestos!$B$24,ROUND(Supuestos!$B$20*(1+Supuestos!$B$21)^5,0))</f>
        <v/>
      </c>
      <c r="C12" s="60">
        <f>ROUND(D11*Supuestos!$B$22,0)</f>
        <v/>
      </c>
      <c r="D12" s="60">
        <f>D11+B12-C12</f>
        <v/>
      </c>
      <c r="E12" s="61">
        <f>D12*Supuestos!$B$8</f>
        <v/>
      </c>
      <c r="F12" s="61">
        <f>E12*Supuestos!$B$11+D12*Supuestos!$B$12</f>
        <v/>
      </c>
      <c r="G12" s="61">
        <f>D12*Supuestos!$B$17</f>
        <v/>
      </c>
      <c r="H12" s="61">
        <f>Supuestos!$B$16</f>
        <v/>
      </c>
      <c r="I12" s="57">
        <f>E12-F12-G12-H12</f>
        <v/>
      </c>
      <c r="J12" s="61">
        <f>Supuestos!$B$23</f>
        <v/>
      </c>
      <c r="K12" s="61">
        <f>I12-J12</f>
        <v/>
      </c>
      <c r="L12" s="61">
        <f>L11+K12</f>
        <v/>
      </c>
      <c r="M12" s="58">
        <f>K12*Supuestos!$B$27</f>
        <v/>
      </c>
      <c r="N12" s="58">
        <f>N11+M12</f>
        <v/>
      </c>
    </row>
    <row r="13">
      <c r="A13" s="54" t="n">
        <v>7</v>
      </c>
      <c r="B13" s="55">
        <f>MIN(Supuestos!$B$24,ROUND(Supuestos!$B$20*(1+Supuestos!$B$21)^6,0))</f>
        <v/>
      </c>
      <c r="C13" s="55">
        <f>ROUND(D12*Supuestos!$B$22,0)</f>
        <v/>
      </c>
      <c r="D13" s="55">
        <f>D12+B13-C13</f>
        <v/>
      </c>
      <c r="E13" s="56">
        <f>D13*Supuestos!$B$8</f>
        <v/>
      </c>
      <c r="F13" s="56">
        <f>E13*Supuestos!$B$11+D13*Supuestos!$B$12</f>
        <v/>
      </c>
      <c r="G13" s="56">
        <f>D13*Supuestos!$B$17</f>
        <v/>
      </c>
      <c r="H13" s="56">
        <f>Supuestos!$B$16</f>
        <v/>
      </c>
      <c r="I13" s="57">
        <f>E13-F13-G13-H13</f>
        <v/>
      </c>
      <c r="J13" s="56">
        <f>Supuestos!$B$23</f>
        <v/>
      </c>
      <c r="K13" s="56">
        <f>I13-J13</f>
        <v/>
      </c>
      <c r="L13" s="56">
        <f>L12+K13</f>
        <v/>
      </c>
      <c r="M13" s="58">
        <f>K13*Supuestos!$B$27</f>
        <v/>
      </c>
      <c r="N13" s="58">
        <f>N12+M13</f>
        <v/>
      </c>
    </row>
    <row r="14">
      <c r="A14" s="59" t="n">
        <v>8</v>
      </c>
      <c r="B14" s="60">
        <f>MIN(Supuestos!$B$24,ROUND(Supuestos!$B$20*(1+Supuestos!$B$21)^7,0))</f>
        <v/>
      </c>
      <c r="C14" s="60">
        <f>ROUND(D13*Supuestos!$B$22,0)</f>
        <v/>
      </c>
      <c r="D14" s="60">
        <f>D13+B14-C14</f>
        <v/>
      </c>
      <c r="E14" s="61">
        <f>D14*Supuestos!$B$8</f>
        <v/>
      </c>
      <c r="F14" s="61">
        <f>E14*Supuestos!$B$11+D14*Supuestos!$B$12</f>
        <v/>
      </c>
      <c r="G14" s="61">
        <f>D14*Supuestos!$B$17</f>
        <v/>
      </c>
      <c r="H14" s="61">
        <f>Supuestos!$B$16</f>
        <v/>
      </c>
      <c r="I14" s="57">
        <f>E14-F14-G14-H14</f>
        <v/>
      </c>
      <c r="J14" s="61">
        <f>Supuestos!$B$23</f>
        <v/>
      </c>
      <c r="K14" s="61">
        <f>I14-J14</f>
        <v/>
      </c>
      <c r="L14" s="61">
        <f>L13+K14</f>
        <v/>
      </c>
      <c r="M14" s="58">
        <f>K14*Supuestos!$B$27</f>
        <v/>
      </c>
      <c r="N14" s="58">
        <f>N13+M14</f>
        <v/>
      </c>
    </row>
    <row r="15">
      <c r="A15" s="54" t="n">
        <v>9</v>
      </c>
      <c r="B15" s="55">
        <f>MIN(Supuestos!$B$24,ROUND(Supuestos!$B$20*(1+Supuestos!$B$21)^8,0))</f>
        <v/>
      </c>
      <c r="C15" s="55">
        <f>ROUND(D14*Supuestos!$B$22,0)</f>
        <v/>
      </c>
      <c r="D15" s="55">
        <f>D14+B15-C15</f>
        <v/>
      </c>
      <c r="E15" s="56">
        <f>D15*Supuestos!$B$8</f>
        <v/>
      </c>
      <c r="F15" s="56">
        <f>E15*Supuestos!$B$11+D15*Supuestos!$B$12</f>
        <v/>
      </c>
      <c r="G15" s="56">
        <f>D15*Supuestos!$B$17</f>
        <v/>
      </c>
      <c r="H15" s="56">
        <f>Supuestos!$B$16</f>
        <v/>
      </c>
      <c r="I15" s="57">
        <f>E15-F15-G15-H15</f>
        <v/>
      </c>
      <c r="J15" s="56">
        <f>Supuestos!$B$23</f>
        <v/>
      </c>
      <c r="K15" s="56">
        <f>I15-J15</f>
        <v/>
      </c>
      <c r="L15" s="56">
        <f>L14+K15</f>
        <v/>
      </c>
      <c r="M15" s="58">
        <f>K15*Supuestos!$B$27</f>
        <v/>
      </c>
      <c r="N15" s="58">
        <f>N14+M15</f>
        <v/>
      </c>
    </row>
    <row r="16">
      <c r="A16" s="59" t="n">
        <v>10</v>
      </c>
      <c r="B16" s="60">
        <f>MIN(Supuestos!$B$24,ROUND(Supuestos!$B$20*(1+Supuestos!$B$21)^9,0))</f>
        <v/>
      </c>
      <c r="C16" s="60">
        <f>ROUND(D15*Supuestos!$B$22,0)</f>
        <v/>
      </c>
      <c r="D16" s="60">
        <f>D15+B16-C16</f>
        <v/>
      </c>
      <c r="E16" s="61">
        <f>D16*Supuestos!$B$8</f>
        <v/>
      </c>
      <c r="F16" s="61">
        <f>E16*Supuestos!$B$11+D16*Supuestos!$B$12</f>
        <v/>
      </c>
      <c r="G16" s="61">
        <f>D16*Supuestos!$B$17</f>
        <v/>
      </c>
      <c r="H16" s="61">
        <f>Supuestos!$B$16</f>
        <v/>
      </c>
      <c r="I16" s="57">
        <f>E16-F16-G16-H16</f>
        <v/>
      </c>
      <c r="J16" s="61">
        <f>Supuestos!$B$23</f>
        <v/>
      </c>
      <c r="K16" s="61">
        <f>I16-J16</f>
        <v/>
      </c>
      <c r="L16" s="61">
        <f>L15+K16</f>
        <v/>
      </c>
      <c r="M16" s="58">
        <f>K16*Supuestos!$B$27</f>
        <v/>
      </c>
      <c r="N16" s="58">
        <f>N15+M16</f>
        <v/>
      </c>
    </row>
    <row r="17">
      <c r="A17" s="54" t="n">
        <v>11</v>
      </c>
      <c r="B17" s="55">
        <f>MIN(Supuestos!$B$24,ROUND(Supuestos!$B$20*(1+Supuestos!$B$21)^10,0))</f>
        <v/>
      </c>
      <c r="C17" s="55">
        <f>ROUND(D16*Supuestos!$B$22,0)</f>
        <v/>
      </c>
      <c r="D17" s="55">
        <f>D16+B17-C17</f>
        <v/>
      </c>
      <c r="E17" s="56">
        <f>D17*Supuestos!$B$8</f>
        <v/>
      </c>
      <c r="F17" s="56">
        <f>E17*Supuestos!$B$11+D17*Supuestos!$B$12</f>
        <v/>
      </c>
      <c r="G17" s="56">
        <f>D17*Supuestos!$B$17</f>
        <v/>
      </c>
      <c r="H17" s="56">
        <f>Supuestos!$B$16</f>
        <v/>
      </c>
      <c r="I17" s="57">
        <f>E17-F17-G17-H17</f>
        <v/>
      </c>
      <c r="J17" s="56">
        <f>Supuestos!$B$23</f>
        <v/>
      </c>
      <c r="K17" s="56">
        <f>I17-J17</f>
        <v/>
      </c>
      <c r="L17" s="56">
        <f>L16+K17</f>
        <v/>
      </c>
      <c r="M17" s="58">
        <f>K17*Supuestos!$B$27</f>
        <v/>
      </c>
      <c r="N17" s="58">
        <f>N16+M17</f>
        <v/>
      </c>
    </row>
    <row r="18">
      <c r="A18" s="62" t="n">
        <v>12</v>
      </c>
      <c r="B18" s="63">
        <f>MIN(Supuestos!$B$24,ROUND(Supuestos!$B$20*(1+Supuestos!$B$21)^11,0))</f>
        <v/>
      </c>
      <c r="C18" s="63">
        <f>ROUND(D17*Supuestos!$B$22,0)</f>
        <v/>
      </c>
      <c r="D18" s="63">
        <f>D17+B18-C18</f>
        <v/>
      </c>
      <c r="E18" s="64">
        <f>D18*Supuestos!$B$8</f>
        <v/>
      </c>
      <c r="F18" s="64">
        <f>E18*Supuestos!$B$11+D18*Supuestos!$B$12</f>
        <v/>
      </c>
      <c r="G18" s="64">
        <f>D18*Supuestos!$B$17</f>
        <v/>
      </c>
      <c r="H18" s="64">
        <f>Supuestos!$B$16</f>
        <v/>
      </c>
      <c r="I18" s="65">
        <f>E18-F18-G18-H18</f>
        <v/>
      </c>
      <c r="J18" s="64">
        <f>Supuestos!$B$23</f>
        <v/>
      </c>
      <c r="K18" s="64">
        <f>I18-J18</f>
        <v/>
      </c>
      <c r="L18" s="64">
        <f>L17+K18</f>
        <v/>
      </c>
      <c r="M18" s="66">
        <f>K18*Supuestos!$B$27</f>
        <v/>
      </c>
      <c r="N18" s="66">
        <f>N17+M18</f>
        <v/>
      </c>
    </row>
    <row r="19">
      <c r="A19" s="54" t="n">
        <v>13</v>
      </c>
      <c r="B19" s="55">
        <f>MIN(Supuestos!$B$24,ROUND(Supuestos!$B$20*(1+Supuestos!$B$21)^12,0))</f>
        <v/>
      </c>
      <c r="C19" s="55">
        <f>ROUND(D18*Supuestos!$B$22,0)</f>
        <v/>
      </c>
      <c r="D19" s="55">
        <f>D18+B19-C19</f>
        <v/>
      </c>
      <c r="E19" s="56">
        <f>D19*Supuestos!$B$8</f>
        <v/>
      </c>
      <c r="F19" s="56">
        <f>E19*Supuestos!$B$11+D19*Supuestos!$B$12</f>
        <v/>
      </c>
      <c r="G19" s="56">
        <f>D19*Supuestos!$B$17</f>
        <v/>
      </c>
      <c r="H19" s="56">
        <f>Supuestos!$B$16</f>
        <v/>
      </c>
      <c r="I19" s="57">
        <f>E19-F19-G19-H19</f>
        <v/>
      </c>
      <c r="J19" s="56">
        <f>Supuestos!$B$23</f>
        <v/>
      </c>
      <c r="K19" s="56">
        <f>I19-J19</f>
        <v/>
      </c>
      <c r="L19" s="56">
        <f>L18+K19</f>
        <v/>
      </c>
      <c r="M19" s="58">
        <f>K19*Supuestos!$B$27</f>
        <v/>
      </c>
      <c r="N19" s="58">
        <f>N18+M19</f>
        <v/>
      </c>
    </row>
    <row r="20">
      <c r="A20" s="59" t="n">
        <v>14</v>
      </c>
      <c r="B20" s="60">
        <f>MIN(Supuestos!$B$24,ROUND(Supuestos!$B$20*(1+Supuestos!$B$21)^13,0))</f>
        <v/>
      </c>
      <c r="C20" s="60">
        <f>ROUND(D19*Supuestos!$B$22,0)</f>
        <v/>
      </c>
      <c r="D20" s="60">
        <f>D19+B20-C20</f>
        <v/>
      </c>
      <c r="E20" s="61">
        <f>D20*Supuestos!$B$8</f>
        <v/>
      </c>
      <c r="F20" s="61">
        <f>E20*Supuestos!$B$11+D20*Supuestos!$B$12</f>
        <v/>
      </c>
      <c r="G20" s="61">
        <f>D20*Supuestos!$B$17</f>
        <v/>
      </c>
      <c r="H20" s="61">
        <f>Supuestos!$B$16</f>
        <v/>
      </c>
      <c r="I20" s="57">
        <f>E20-F20-G20-H20</f>
        <v/>
      </c>
      <c r="J20" s="61">
        <f>Supuestos!$B$23</f>
        <v/>
      </c>
      <c r="K20" s="61">
        <f>I20-J20</f>
        <v/>
      </c>
      <c r="L20" s="61">
        <f>L19+K20</f>
        <v/>
      </c>
      <c r="M20" s="58">
        <f>K20*Supuestos!$B$27</f>
        <v/>
      </c>
      <c r="N20" s="58">
        <f>N19+M20</f>
        <v/>
      </c>
    </row>
    <row r="21">
      <c r="A21" s="54" t="n">
        <v>15</v>
      </c>
      <c r="B21" s="55">
        <f>MIN(Supuestos!$B$24,ROUND(Supuestos!$B$20*(1+Supuestos!$B$21)^14,0))</f>
        <v/>
      </c>
      <c r="C21" s="55">
        <f>ROUND(D20*Supuestos!$B$22,0)</f>
        <v/>
      </c>
      <c r="D21" s="55">
        <f>D20+B21-C21</f>
        <v/>
      </c>
      <c r="E21" s="56">
        <f>D21*Supuestos!$B$8</f>
        <v/>
      </c>
      <c r="F21" s="56">
        <f>E21*Supuestos!$B$11+D21*Supuestos!$B$12</f>
        <v/>
      </c>
      <c r="G21" s="56">
        <f>D21*Supuestos!$B$17</f>
        <v/>
      </c>
      <c r="H21" s="56">
        <f>Supuestos!$B$16</f>
        <v/>
      </c>
      <c r="I21" s="57">
        <f>E21-F21-G21-H21</f>
        <v/>
      </c>
      <c r="J21" s="56">
        <f>Supuestos!$B$23</f>
        <v/>
      </c>
      <c r="K21" s="56">
        <f>I21-J21</f>
        <v/>
      </c>
      <c r="L21" s="56">
        <f>L20+K21</f>
        <v/>
      </c>
      <c r="M21" s="58">
        <f>K21*Supuestos!$B$27</f>
        <v/>
      </c>
      <c r="N21" s="58">
        <f>N20+M21</f>
        <v/>
      </c>
    </row>
    <row r="22">
      <c r="A22" s="59" t="n">
        <v>16</v>
      </c>
      <c r="B22" s="60">
        <f>MIN(Supuestos!$B$24,ROUND(Supuestos!$B$20*(1+Supuestos!$B$21)^15,0))</f>
        <v/>
      </c>
      <c r="C22" s="60">
        <f>ROUND(D21*Supuestos!$B$22,0)</f>
        <v/>
      </c>
      <c r="D22" s="60">
        <f>D21+B22-C22</f>
        <v/>
      </c>
      <c r="E22" s="61">
        <f>D22*Supuestos!$B$8</f>
        <v/>
      </c>
      <c r="F22" s="61">
        <f>E22*Supuestos!$B$11+D22*Supuestos!$B$12</f>
        <v/>
      </c>
      <c r="G22" s="61">
        <f>D22*Supuestos!$B$17</f>
        <v/>
      </c>
      <c r="H22" s="61">
        <f>Supuestos!$B$16</f>
        <v/>
      </c>
      <c r="I22" s="57">
        <f>E22-F22-G22-H22</f>
        <v/>
      </c>
      <c r="J22" s="61">
        <f>Supuestos!$B$23</f>
        <v/>
      </c>
      <c r="K22" s="61">
        <f>I22-J22</f>
        <v/>
      </c>
      <c r="L22" s="61">
        <f>L21+K22</f>
        <v/>
      </c>
      <c r="M22" s="58">
        <f>K22*Supuestos!$B$27</f>
        <v/>
      </c>
      <c r="N22" s="58">
        <f>N21+M22</f>
        <v/>
      </c>
    </row>
    <row r="23">
      <c r="A23" s="54" t="n">
        <v>17</v>
      </c>
      <c r="B23" s="55">
        <f>MIN(Supuestos!$B$24,ROUND(Supuestos!$B$20*(1+Supuestos!$B$21)^16,0))</f>
        <v/>
      </c>
      <c r="C23" s="55">
        <f>ROUND(D22*Supuestos!$B$22,0)</f>
        <v/>
      </c>
      <c r="D23" s="55">
        <f>D22+B23-C23</f>
        <v/>
      </c>
      <c r="E23" s="56">
        <f>D23*Supuestos!$B$8</f>
        <v/>
      </c>
      <c r="F23" s="56">
        <f>E23*Supuestos!$B$11+D23*Supuestos!$B$12</f>
        <v/>
      </c>
      <c r="G23" s="56">
        <f>D23*Supuestos!$B$17</f>
        <v/>
      </c>
      <c r="H23" s="56">
        <f>Supuestos!$B$16</f>
        <v/>
      </c>
      <c r="I23" s="57">
        <f>E23-F23-G23-H23</f>
        <v/>
      </c>
      <c r="J23" s="56">
        <f>Supuestos!$B$23</f>
        <v/>
      </c>
      <c r="K23" s="56">
        <f>I23-J23</f>
        <v/>
      </c>
      <c r="L23" s="56">
        <f>L22+K23</f>
        <v/>
      </c>
      <c r="M23" s="58">
        <f>K23*Supuestos!$B$27</f>
        <v/>
      </c>
      <c r="N23" s="58">
        <f>N22+M23</f>
        <v/>
      </c>
    </row>
    <row r="24">
      <c r="A24" s="59" t="n">
        <v>18</v>
      </c>
      <c r="B24" s="60">
        <f>MIN(Supuestos!$B$24,ROUND(Supuestos!$B$20*(1+Supuestos!$B$21)^17,0))</f>
        <v/>
      </c>
      <c r="C24" s="60">
        <f>ROUND(D23*Supuestos!$B$22,0)</f>
        <v/>
      </c>
      <c r="D24" s="60">
        <f>D23+B24-C24</f>
        <v/>
      </c>
      <c r="E24" s="61">
        <f>D24*Supuestos!$B$8</f>
        <v/>
      </c>
      <c r="F24" s="61">
        <f>E24*Supuestos!$B$11+D24*Supuestos!$B$12</f>
        <v/>
      </c>
      <c r="G24" s="61">
        <f>D24*Supuestos!$B$17</f>
        <v/>
      </c>
      <c r="H24" s="61">
        <f>Supuestos!$B$16</f>
        <v/>
      </c>
      <c r="I24" s="57">
        <f>E24-F24-G24-H24</f>
        <v/>
      </c>
      <c r="J24" s="61">
        <f>Supuestos!$B$23</f>
        <v/>
      </c>
      <c r="K24" s="61">
        <f>I24-J24</f>
        <v/>
      </c>
      <c r="L24" s="61">
        <f>L23+K24</f>
        <v/>
      </c>
      <c r="M24" s="58">
        <f>K24*Supuestos!$B$27</f>
        <v/>
      </c>
      <c r="N24" s="58">
        <f>N23+M24</f>
        <v/>
      </c>
    </row>
    <row r="25">
      <c r="A25" s="54" t="n">
        <v>19</v>
      </c>
      <c r="B25" s="55">
        <f>MIN(Supuestos!$B$24,ROUND(Supuestos!$B$20*(1+Supuestos!$B$21)^18,0))</f>
        <v/>
      </c>
      <c r="C25" s="55">
        <f>ROUND(D24*Supuestos!$B$22,0)</f>
        <v/>
      </c>
      <c r="D25" s="55">
        <f>D24+B25-C25</f>
        <v/>
      </c>
      <c r="E25" s="56">
        <f>D25*Supuestos!$B$8</f>
        <v/>
      </c>
      <c r="F25" s="56">
        <f>E25*Supuestos!$B$11+D25*Supuestos!$B$12</f>
        <v/>
      </c>
      <c r="G25" s="56">
        <f>D25*Supuestos!$B$17</f>
        <v/>
      </c>
      <c r="H25" s="56">
        <f>Supuestos!$B$16</f>
        <v/>
      </c>
      <c r="I25" s="57">
        <f>E25-F25-G25-H25</f>
        <v/>
      </c>
      <c r="J25" s="56">
        <f>Supuestos!$B$23</f>
        <v/>
      </c>
      <c r="K25" s="56">
        <f>I25-J25</f>
        <v/>
      </c>
      <c r="L25" s="56">
        <f>L24+K25</f>
        <v/>
      </c>
      <c r="M25" s="58">
        <f>K25*Supuestos!$B$27</f>
        <v/>
      </c>
      <c r="N25" s="58">
        <f>N24+M25</f>
        <v/>
      </c>
    </row>
    <row r="26">
      <c r="A26" s="59" t="n">
        <v>20</v>
      </c>
      <c r="B26" s="60">
        <f>MIN(Supuestos!$B$24,ROUND(Supuestos!$B$20*(1+Supuestos!$B$21)^19,0))</f>
        <v/>
      </c>
      <c r="C26" s="60">
        <f>ROUND(D25*Supuestos!$B$22,0)</f>
        <v/>
      </c>
      <c r="D26" s="60">
        <f>D25+B26-C26</f>
        <v/>
      </c>
      <c r="E26" s="61">
        <f>D26*Supuestos!$B$8</f>
        <v/>
      </c>
      <c r="F26" s="61">
        <f>E26*Supuestos!$B$11+D26*Supuestos!$B$12</f>
        <v/>
      </c>
      <c r="G26" s="61">
        <f>D26*Supuestos!$B$17</f>
        <v/>
      </c>
      <c r="H26" s="61">
        <f>Supuestos!$B$16</f>
        <v/>
      </c>
      <c r="I26" s="57">
        <f>E26-F26-G26-H26</f>
        <v/>
      </c>
      <c r="J26" s="61">
        <f>Supuestos!$B$23</f>
        <v/>
      </c>
      <c r="K26" s="61">
        <f>I26-J26</f>
        <v/>
      </c>
      <c r="L26" s="61">
        <f>L25+K26</f>
        <v/>
      </c>
      <c r="M26" s="58">
        <f>K26*Supuestos!$B$27</f>
        <v/>
      </c>
      <c r="N26" s="58">
        <f>N25+M26</f>
        <v/>
      </c>
    </row>
    <row r="27">
      <c r="A27" s="54" t="n">
        <v>21</v>
      </c>
      <c r="B27" s="55">
        <f>MIN(Supuestos!$B$24,ROUND(Supuestos!$B$20*(1+Supuestos!$B$21)^20,0))</f>
        <v/>
      </c>
      <c r="C27" s="55">
        <f>ROUND(D26*Supuestos!$B$22,0)</f>
        <v/>
      </c>
      <c r="D27" s="55">
        <f>D26+B27-C27</f>
        <v/>
      </c>
      <c r="E27" s="56">
        <f>D27*Supuestos!$B$8</f>
        <v/>
      </c>
      <c r="F27" s="56">
        <f>E27*Supuestos!$B$11+D27*Supuestos!$B$12</f>
        <v/>
      </c>
      <c r="G27" s="56">
        <f>D27*Supuestos!$B$17</f>
        <v/>
      </c>
      <c r="H27" s="56">
        <f>Supuestos!$B$16</f>
        <v/>
      </c>
      <c r="I27" s="57">
        <f>E27-F27-G27-H27</f>
        <v/>
      </c>
      <c r="J27" s="56">
        <f>Supuestos!$B$23</f>
        <v/>
      </c>
      <c r="K27" s="56">
        <f>I27-J27</f>
        <v/>
      </c>
      <c r="L27" s="56">
        <f>L26+K27</f>
        <v/>
      </c>
      <c r="M27" s="58">
        <f>K27*Supuestos!$B$27</f>
        <v/>
      </c>
      <c r="N27" s="58">
        <f>N26+M27</f>
        <v/>
      </c>
    </row>
    <row r="28">
      <c r="A28" s="59" t="n">
        <v>22</v>
      </c>
      <c r="B28" s="60">
        <f>MIN(Supuestos!$B$24,ROUND(Supuestos!$B$20*(1+Supuestos!$B$21)^21,0))</f>
        <v/>
      </c>
      <c r="C28" s="60">
        <f>ROUND(D27*Supuestos!$B$22,0)</f>
        <v/>
      </c>
      <c r="D28" s="60">
        <f>D27+B28-C28</f>
        <v/>
      </c>
      <c r="E28" s="61">
        <f>D28*Supuestos!$B$8</f>
        <v/>
      </c>
      <c r="F28" s="61">
        <f>E28*Supuestos!$B$11+D28*Supuestos!$B$12</f>
        <v/>
      </c>
      <c r="G28" s="61">
        <f>D28*Supuestos!$B$17</f>
        <v/>
      </c>
      <c r="H28" s="61">
        <f>Supuestos!$B$16</f>
        <v/>
      </c>
      <c r="I28" s="57">
        <f>E28-F28-G28-H28</f>
        <v/>
      </c>
      <c r="J28" s="61">
        <f>Supuestos!$B$23</f>
        <v/>
      </c>
      <c r="K28" s="61">
        <f>I28-J28</f>
        <v/>
      </c>
      <c r="L28" s="61">
        <f>L27+K28</f>
        <v/>
      </c>
      <c r="M28" s="58">
        <f>K28*Supuestos!$B$27</f>
        <v/>
      </c>
      <c r="N28" s="58">
        <f>N27+M28</f>
        <v/>
      </c>
    </row>
    <row r="29">
      <c r="A29" s="54" t="n">
        <v>23</v>
      </c>
      <c r="B29" s="55">
        <f>MIN(Supuestos!$B$24,ROUND(Supuestos!$B$20*(1+Supuestos!$B$21)^22,0))</f>
        <v/>
      </c>
      <c r="C29" s="55">
        <f>ROUND(D28*Supuestos!$B$22,0)</f>
        <v/>
      </c>
      <c r="D29" s="55">
        <f>D28+B29-C29</f>
        <v/>
      </c>
      <c r="E29" s="56">
        <f>D29*Supuestos!$B$8</f>
        <v/>
      </c>
      <c r="F29" s="56">
        <f>E29*Supuestos!$B$11+D29*Supuestos!$B$12</f>
        <v/>
      </c>
      <c r="G29" s="56">
        <f>D29*Supuestos!$B$17</f>
        <v/>
      </c>
      <c r="H29" s="56">
        <f>Supuestos!$B$16</f>
        <v/>
      </c>
      <c r="I29" s="57">
        <f>E29-F29-G29-H29</f>
        <v/>
      </c>
      <c r="J29" s="56">
        <f>Supuestos!$B$23</f>
        <v/>
      </c>
      <c r="K29" s="56">
        <f>I29-J29</f>
        <v/>
      </c>
      <c r="L29" s="56">
        <f>L28+K29</f>
        <v/>
      </c>
      <c r="M29" s="58">
        <f>K29*Supuestos!$B$27</f>
        <v/>
      </c>
      <c r="N29" s="58">
        <f>N28+M29</f>
        <v/>
      </c>
    </row>
    <row r="30">
      <c r="A30" s="62" t="n">
        <v>24</v>
      </c>
      <c r="B30" s="63">
        <f>MIN(Supuestos!$B$24,ROUND(Supuestos!$B$20*(1+Supuestos!$B$21)^23,0))</f>
        <v/>
      </c>
      <c r="C30" s="63">
        <f>ROUND(D29*Supuestos!$B$22,0)</f>
        <v/>
      </c>
      <c r="D30" s="63">
        <f>D29+B30-C30</f>
        <v/>
      </c>
      <c r="E30" s="64">
        <f>D30*Supuestos!$B$8</f>
        <v/>
      </c>
      <c r="F30" s="64">
        <f>E30*Supuestos!$B$11+D30*Supuestos!$B$12</f>
        <v/>
      </c>
      <c r="G30" s="64">
        <f>D30*Supuestos!$B$17</f>
        <v/>
      </c>
      <c r="H30" s="64">
        <f>Supuestos!$B$16</f>
        <v/>
      </c>
      <c r="I30" s="65">
        <f>E30-F30-G30-H30</f>
        <v/>
      </c>
      <c r="J30" s="64">
        <f>Supuestos!$B$23</f>
        <v/>
      </c>
      <c r="K30" s="64">
        <f>I30-J30</f>
        <v/>
      </c>
      <c r="L30" s="64">
        <f>L29+K30</f>
        <v/>
      </c>
      <c r="M30" s="66">
        <f>K30*Supuestos!$B$27</f>
        <v/>
      </c>
      <c r="N30" s="66">
        <f>N29+M30</f>
        <v/>
      </c>
    </row>
    <row r="32">
      <c r="A32" s="30" t="inlineStr">
        <is>
          <t>Cómo leerlo</t>
        </is>
      </c>
    </row>
    <row r="33">
      <c r="A33" s="3" t="inlineStr">
        <is>
          <t>·  UTILIDAD DE OPERACIÓN (verde) = lo que deja la plataforma: ingresos − comisión − costo variable − costo fijo.</t>
        </is>
      </c>
    </row>
    <row r="34">
      <c r="A34" s="3" t="inlineStr">
        <is>
          <t>·  Marketing es una decisión aparte, no un costo de la plataforma. Arranca en 0; cámbialo en Supuestos B23.</t>
        </is>
      </c>
    </row>
    <row r="35">
      <c r="A35" s="3" t="inlineStr">
        <is>
          <t>·  Utilidad acumulada: en los primeros meses es negativa. El punto más bajo es la plata que hay que poner.</t>
        </is>
      </c>
    </row>
    <row r="36">
      <c r="A36" s="3" t="inlineStr">
        <is>
          <t>·  Socio del mes: su parte de la utilidad de ese mes. En los meses de pérdida también es negativa.</t>
        </is>
      </c>
    </row>
    <row r="37">
      <c r="A37" s="3" t="inlineStr">
        <is>
          <t>·  La línea gruesa marca el cierre del año 1 y del año 2.</t>
        </is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2026-09-08T18:17:49Z</dcterms:created>
  <dcterms:modified xsi:type="dcterms:W3CDTF">2026-09-08T18:17:49Z</dcterms:modified>
</cp:coreProperties>
</file>